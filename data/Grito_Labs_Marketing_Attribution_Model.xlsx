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Overview" sheetId="1" r:id="rId1"/>
    <sheet name="Attribution Models" sheetId="2" r:id="rId2"/>
    <sheet name="Budget Optimization" sheetId="3" r:id="rId3"/>
    <sheet name="Campaign Deep-Dive" sheetId="4" r:id="rId4"/>
    <sheet name="Customer Journey Paths" sheetId="5" r:id="rId5"/>
  </sheets>
  <calcPr calcId="124519" fullCalcOnLoad="1"/>
</workbook>
</file>

<file path=xl/sharedStrings.xml><?xml version="1.0" encoding="utf-8"?>
<sst xmlns="http://schemas.openxmlformats.org/spreadsheetml/2006/main" count="195" uniqueCount="146">
  <si>
    <t>GRITO LABS | MULTI-CHANNEL ATTRIBUTION &amp; ROI DASHBOARD</t>
  </si>
  <si>
    <t>Marketing Capital Allocation &amp; Attribution Performance Audit (H1 2026)</t>
  </si>
  <si>
    <t>TOTAL MEDIA SPEND</t>
  </si>
  <si>
    <t>$262,896.68</t>
  </si>
  <si>
    <t>GROSS REVENUE</t>
  </si>
  <si>
    <t>$1,635,357.50</t>
  </si>
  <si>
    <t>BLENDED ROAS</t>
  </si>
  <si>
    <t>6.22x</t>
  </si>
  <si>
    <t>TOTAL ENROLLMENTS</t>
  </si>
  <si>
    <t>1,385</t>
  </si>
  <si>
    <t>BLENDED CAC</t>
  </si>
  <si>
    <t>$189.82</t>
  </si>
  <si>
    <t>AVG TOUCHES / STUDENT</t>
  </si>
  <si>
    <t>3.08</t>
  </si>
  <si>
    <t>Key Executive Findings &amp; Attribution Distortion Summary:</t>
  </si>
  <si>
    <t>1. Extreme Last-Touch Bias: Google Search is over-credited by +48% in Last-Touch ($589.7k vs $395.2k in Markov), masking Meta &amp; YouTube top-of-funnel discovery.</t>
  </si>
  <si>
    <t>2. The Hidden Hero: Email Marketing drives $250.4k in algorithmic value with only $5.2k spend (ROAS: 48.0x) due to its high conversion assistance removal effect (0.2765).</t>
  </si>
  <si>
    <t>3. Capital Drain Identified: LinkedIn Ads generates an unsustainable CAC of $547.62 (ROAS: 2.16x) due to steep $7.40 CPCs. Reallocating $19k from LinkedIn unlocks +$74.9k incremental revenue.</t>
  </si>
  <si>
    <t>4. Organic Pillar: Organic Search &amp; Alumni Referrals drive 305+ organic student enrollments ($360.4k net tuition) at $0 paid acquisition cost.</t>
  </si>
  <si>
    <t>5. Conversion Velocity: Average student consideration journey takes 3.4 touchpoints over 14.8 days between initial discovery and tuition payment.</t>
  </si>
  <si>
    <t>MULTI-TOUCH ATTRIBUTION MODEL COMPARISON MATRIX</t>
  </si>
  <si>
    <t>Evaluating Conversions, Revenue, ROAS, and CAC Across 6 Methodologies</t>
  </si>
  <si>
    <t>Channel</t>
  </si>
  <si>
    <t>Media Spend ($)</t>
  </si>
  <si>
    <t>Markov Removal Effect</t>
  </si>
  <si>
    <t>Conv (First-Touch)</t>
  </si>
  <si>
    <t>Conv (Last-Touch)</t>
  </si>
  <si>
    <t>Conv (Linear)</t>
  </si>
  <si>
    <t>Conv (Time-Decay)</t>
  </si>
  <si>
    <t>Conv (U-Shaped)</t>
  </si>
  <si>
    <t>Conv (Markov)</t>
  </si>
  <si>
    <t>Rev (First-Touch)</t>
  </si>
  <si>
    <t>Rev (Last-Touch)</t>
  </si>
  <si>
    <t>Rev (Linear)</t>
  </si>
  <si>
    <t>Rev (Time-Decay)</t>
  </si>
  <si>
    <t>Rev (U-Shaped)</t>
  </si>
  <si>
    <t>Rev (Markov)</t>
  </si>
  <si>
    <t>Markov ROAS</t>
  </si>
  <si>
    <t>Markov CAC ($)</t>
  </si>
  <si>
    <t>Meta Ads</t>
  </si>
  <si>
    <t>Google Search</t>
  </si>
  <si>
    <t>LinkedIn Ads</t>
  </si>
  <si>
    <t>YouTube Ads</t>
  </si>
  <si>
    <t>Email Marketing</t>
  </si>
  <si>
    <t>Organic Search</t>
  </si>
  <si>
    <t>Referral &amp; Direct</t>
  </si>
  <si>
    <t>TOTAL / BLENDED</t>
  </si>
  <si>
    <t>-</t>
  </si>
  <si>
    <t>MATHEMATICAL BUDGET REALLOCATION (HILL-MARKOV MODEL)</t>
  </si>
  <si>
    <t>Projected +$74.9k Revenue Uplift (+5.9% Conversions) with Zero Increase in Media Budget</t>
  </si>
  <si>
    <t>Current Spend ($)</t>
  </si>
  <si>
    <t>Optimized Spend ($)</t>
  </si>
  <si>
    <t>Budget Shift ($)</t>
  </si>
  <si>
    <t>Shift (%)</t>
  </si>
  <si>
    <t>Current Markov Conv</t>
  </si>
  <si>
    <t>Projected Conv</t>
  </si>
  <si>
    <t>Current Revenue ($)</t>
  </si>
  <si>
    <t>Projected Revenue ($)</t>
  </si>
  <si>
    <t>Projected ROAS</t>
  </si>
  <si>
    <t>Strategic Rationale</t>
  </si>
  <si>
    <t>Scale +45%; highest marginal ROI ($48x ROAS), unutilized lead nurture capacity.</t>
  </si>
  <si>
    <t>Maintain high investment (+8%); primary high-intent demand capture engine.</t>
  </si>
  <si>
    <t>Underperforming CAC ($547); trim budget by -40% to stop marginal bleeding.</t>
  </si>
  <si>
    <t>Rebalance slightly (-5%); saturated lookalike cohorts, focus on high-performing creative reels.</t>
  </si>
  <si>
    <t>Scale +22%; critical top-of-funnel discovery feeder with strong Markov removal effect.</t>
  </si>
  <si>
    <t>GRANULAR CAMPAIGN PERFORMANCE AUDIT</t>
  </si>
  <si>
    <t>Linear vs Last-Touch Return on Ad Spend, Cost Per Acquisition, and Strategic Health</t>
  </si>
  <si>
    <t>Campaign ID</t>
  </si>
  <si>
    <t>Campaign Name</t>
  </si>
  <si>
    <t>Spend ($)</t>
  </si>
  <si>
    <t>Impressions</t>
  </si>
  <si>
    <t>Clicks</t>
  </si>
  <si>
    <t>CTR (%)</t>
  </si>
  <si>
    <t>CPC ($)</t>
  </si>
  <si>
    <t>Linear Conv</t>
  </si>
  <si>
    <t>Linear Rev ($)</t>
  </si>
  <si>
    <t>Linear ROAS</t>
  </si>
  <si>
    <t>Linear CAC ($)</t>
  </si>
  <si>
    <t>Status</t>
  </si>
  <si>
    <t>Recommendation</t>
  </si>
  <si>
    <t>GS_Intent_Bootcamp</t>
  </si>
  <si>
    <t>Google Ads - High Intent Bootcamps</t>
  </si>
  <si>
    <t>UNDERPERFORMING_REDUCE</t>
  </si>
  <si>
    <t>Cut spend by -25% to -40%; reallocate capital to top channels.</t>
  </si>
  <si>
    <t>Meta_Feed_CareerTransition</t>
  </si>
  <si>
    <t>Meta - Career Switcher Video Stories</t>
  </si>
  <si>
    <t>OPTIMIZE_AND_MAINTAIN</t>
  </si>
  <si>
    <t>Maintain budget; optimize ad creatives &amp; landing page CVR.</t>
  </si>
  <si>
    <t>LI_Sponsored_DataCareer</t>
  </si>
  <si>
    <t>LinkedIn - Working Pro Upskilling</t>
  </si>
  <si>
    <t>Meta_Reels_ProjectShowcase</t>
  </si>
  <si>
    <t>Meta - Reels RCA Capstone Demos</t>
  </si>
  <si>
    <t>YT_Tutorial_SQLCrash</t>
  </si>
  <si>
    <t>YouTube - Free SQL Masterclass Promo</t>
  </si>
  <si>
    <t>GS_Competitor_Conquest</t>
  </si>
  <si>
    <t>Google Ads - Alternative Conquesting</t>
  </si>
  <si>
    <t>Meta_Retargeting_LAL</t>
  </si>
  <si>
    <t>Meta - Warm Audience &amp; Lookalike 2%</t>
  </si>
  <si>
    <t>STRONG_SCALE</t>
  </si>
  <si>
    <t>Increase budget by +30% to +40%; high marginal efficiency.</t>
  </si>
  <si>
    <t>YT_Alumni_Interviews</t>
  </si>
  <si>
    <t>YouTube - Student Career Transformation</t>
  </si>
  <si>
    <t>LI_ThoughtLeadership_RCA</t>
  </si>
  <si>
    <t>LinkedIn - Root Cause Analysis Exec Guides</t>
  </si>
  <si>
    <t>GS_Brand_Defense</t>
  </si>
  <si>
    <t>Google Ads - Grito Labs Brand Search</t>
  </si>
  <si>
    <t>Email_Webinar_Masterclass</t>
  </si>
  <si>
    <t>Email - Live Weekend Workshop Invite</t>
  </si>
  <si>
    <t>Email_Nurture_Drip</t>
  </si>
  <si>
    <t>Email - 7-Day Curriculum Deep Dive</t>
  </si>
  <si>
    <t>Direct_Alumni_Network</t>
  </si>
  <si>
    <t>Direct - Alumni &amp; Referral Program</t>
  </si>
  <si>
    <t>ORGANIC_EXPAND</t>
  </si>
  <si>
    <t>Scale content production; primary zero-CAC acquisition pillar.</t>
  </si>
  <si>
    <t>SEO_Career_Roadmaps</t>
  </si>
  <si>
    <t>Organic - 2026 Data Analyst Roadmap</t>
  </si>
  <si>
    <t>SEO_Technical_Guides</t>
  </si>
  <si>
    <t>Organic - Technical Analytics Tutorials</t>
  </si>
  <si>
    <t>HIGH-IMPACT CUSTOMER CONVERSION JOURNEYS</t>
  </si>
  <si>
    <t>Multi-Touch Transition Paths, Touchpoint Count, and Path Conversion Rates</t>
  </si>
  <si>
    <t>Journey Path</t>
  </si>
  <si>
    <t>Touchpoint Count</t>
  </si>
  <si>
    <t>Total Prospects</t>
  </si>
  <si>
    <t>Conversions</t>
  </si>
  <si>
    <t>CVR (%)</t>
  </si>
  <si>
    <t>Total Net Revenue ($)</t>
  </si>
  <si>
    <t>Meta Ads &gt; Google Search</t>
  </si>
  <si>
    <t>Meta Ads &gt; Email Marketing</t>
  </si>
  <si>
    <t>Organic Search &gt; Google Search</t>
  </si>
  <si>
    <t>YouTube Ads &gt; Google Search</t>
  </si>
  <si>
    <t>Meta Ads &gt; Referral &amp; Direct</t>
  </si>
  <si>
    <t>Meta Ads &gt; Email Marketing &gt; Google Search</t>
  </si>
  <si>
    <t>YouTube Ads &gt; Email Marketing &gt; Google Search</t>
  </si>
  <si>
    <t>YouTube Ads &gt; Email Marketing</t>
  </si>
  <si>
    <t>Google Search &gt; Google Search</t>
  </si>
  <si>
    <t>Meta Ads &gt; Meta Ads &gt; Google Search</t>
  </si>
  <si>
    <t>Organic Search &gt; Email Marketing &gt; Google Search</t>
  </si>
  <si>
    <t>YouTube Ads &gt; Referral &amp; Direct</t>
  </si>
  <si>
    <t>Organic Search &gt; Email Marketing</t>
  </si>
  <si>
    <t>Meta Ads &gt; Google Search &gt; Google Search</t>
  </si>
  <si>
    <t>Meta Ads &gt; Meta Ads</t>
  </si>
  <si>
    <t>YouTube Ads &gt; Organic Search</t>
  </si>
  <si>
    <t>YouTube Ads &gt; Email Marketing &gt; Email Marketing</t>
  </si>
  <si>
    <t>Google Search &gt; Email Marketing</t>
  </si>
  <si>
    <t>YouTube Ads &gt; Meta Ads &gt; Google Search</t>
  </si>
  <si>
    <t>Meta Ads &gt; Organic Search</t>
  </si>
</sst>
</file>

<file path=xl/styles.xml><?xml version="1.0" encoding="utf-8"?>
<styleSheet xmlns="http://schemas.openxmlformats.org/spreadsheetml/2006/main">
  <numFmts count="4">
    <numFmt numFmtId="164" formatCode="$#,##0.00"/>
    <numFmt numFmtId="165" formatCode="0.00"/>
    <numFmt numFmtId="166" formatCode="0.0%"/>
    <numFmt numFmtId="167" formatCode="#,##0"/>
  </numFmts>
  <fonts count="9">
    <font>
      <sz val="11"/>
      <color theme="1"/>
      <name val="Calibri"/>
      <family val="2"/>
      <scheme val="minor"/>
    </font>
    <font>
      <b/>
      <sz val="16"/>
      <color rgb="FF1E293B"/>
      <name val="Calibri"/>
      <family val="2"/>
      <scheme val="minor"/>
    </font>
    <font>
      <i/>
      <sz val="10"/>
      <color rgb="FF64748B"/>
      <name val="Calibri"/>
      <family val="2"/>
      <scheme val="minor"/>
    </font>
    <font>
      <b/>
      <sz val="9"/>
      <color rgb="FF64748B"/>
      <name val="Calibri"/>
      <family val="2"/>
      <scheme val="minor"/>
    </font>
    <font>
      <b/>
      <sz val="14"/>
      <color rgb="FF0F172A"/>
      <name val="Calibri"/>
      <family val="2"/>
      <scheme val="minor"/>
    </font>
    <font>
      <b/>
      <sz val="12"/>
      <color rgb="FF1E293B"/>
      <name val="Calibri"/>
      <family val="2"/>
      <scheme val="minor"/>
    </font>
    <font>
      <sz val="10"/>
      <color rgb="FF334155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rgb="FF0F172A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1F5F9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4F46E5"/>
        <bgColor indexed="64"/>
      </patternFill>
    </fill>
  </fills>
  <borders count="5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4338CA"/>
      </left>
      <right style="thin">
        <color rgb="FF4338CA"/>
      </right>
      <top style="thin">
        <color rgb="FF4338CA"/>
      </top>
      <bottom style="thin">
        <color rgb="FF4338C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0" fontId="7" fillId="4" borderId="2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8" fillId="3" borderId="1" xfId="0" applyFont="1" applyFill="1" applyBorder="1"/>
    <xf numFmtId="164" fontId="6" fillId="0" borderId="4" xfId="0" applyNumberFormat="1" applyFont="1" applyBorder="1"/>
    <xf numFmtId="165" fontId="6" fillId="0" borderId="4" xfId="0" applyNumberFormat="1" applyFont="1" applyBorder="1"/>
    <xf numFmtId="165" fontId="8" fillId="3" borderId="1" xfId="0" applyNumberFormat="1" applyFont="1" applyFill="1" applyBorder="1"/>
    <xf numFmtId="164" fontId="8" fillId="3" borderId="1" xfId="0" applyNumberFormat="1" applyFont="1" applyFill="1" applyBorder="1"/>
    <xf numFmtId="166" fontId="6" fillId="0" borderId="4" xfId="0" applyNumberFormat="1" applyFont="1" applyBorder="1"/>
    <xf numFmtId="0" fontId="6" fillId="0" borderId="4" xfId="0" applyFont="1" applyBorder="1"/>
    <xf numFmtId="167" fontId="6" fillId="0" borderId="4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G13"/>
  <sheetViews>
    <sheetView tabSelected="1" workbookViewId="0"/>
  </sheetViews>
  <sheetFormatPr defaultRowHeight="15"/>
  <cols>
    <col min="1" max="1" width="4.7109375" customWidth="1"/>
    <col min="2" max="7" width="22.7109375" customWidth="1"/>
  </cols>
  <sheetData>
    <row r="2" spans="2:7">
      <c r="B2" s="1" t="s">
        <v>0</v>
      </c>
    </row>
    <row r="3" spans="2:7">
      <c r="B3" s="2" t="s">
        <v>1</v>
      </c>
    </row>
    <row r="5" spans="2:7">
      <c r="B5" s="3" t="s">
        <v>2</v>
      </c>
      <c r="C5" s="3" t="s">
        <v>4</v>
      </c>
      <c r="D5" s="3" t="s">
        <v>6</v>
      </c>
      <c r="E5" s="3" t="s">
        <v>8</v>
      </c>
      <c r="F5" s="3" t="s">
        <v>10</v>
      </c>
      <c r="G5" s="3" t="s">
        <v>12</v>
      </c>
    </row>
    <row r="6" spans="2:7">
      <c r="B6" s="4" t="s">
        <v>3</v>
      </c>
      <c r="C6" s="4" t="s">
        <v>5</v>
      </c>
      <c r="D6" s="4" t="s">
        <v>7</v>
      </c>
      <c r="E6" s="4" t="s">
        <v>9</v>
      </c>
      <c r="F6" s="4" t="s">
        <v>11</v>
      </c>
      <c r="G6" s="4" t="s">
        <v>13</v>
      </c>
    </row>
    <row r="8" spans="2:7">
      <c r="B8" s="5" t="s">
        <v>14</v>
      </c>
    </row>
    <row r="9" spans="2:7">
      <c r="B9" s="6" t="s">
        <v>15</v>
      </c>
    </row>
    <row r="10" spans="2:7">
      <c r="B10" s="6" t="s">
        <v>16</v>
      </c>
    </row>
    <row r="11" spans="2:7">
      <c r="B11" s="6" t="s">
        <v>17</v>
      </c>
    </row>
    <row r="12" spans="2:7">
      <c r="B12" s="6" t="s">
        <v>18</v>
      </c>
    </row>
    <row r="13" spans="2:7">
      <c r="B13" s="6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R13"/>
  <sheetViews>
    <sheetView workbookViewId="0"/>
  </sheetViews>
  <sheetFormatPr defaultRowHeight="15"/>
  <cols>
    <col min="1" max="1" width="4.7109375" customWidth="1"/>
    <col min="2" max="2" width="22.7109375" customWidth="1"/>
    <col min="3" max="5" width="15.7109375" customWidth="1"/>
    <col min="6" max="17" width="14.7109375" customWidth="1"/>
  </cols>
  <sheetData>
    <row r="2" spans="2:18">
      <c r="B2" s="1" t="s">
        <v>20</v>
      </c>
    </row>
    <row r="3" spans="2:18">
      <c r="B3" s="2" t="s">
        <v>21</v>
      </c>
    </row>
    <row r="5" spans="2:18">
      <c r="B5" s="7" t="s">
        <v>22</v>
      </c>
      <c r="C5" s="7" t="s">
        <v>23</v>
      </c>
      <c r="D5" s="8" t="s">
        <v>24</v>
      </c>
      <c r="E5" s="7" t="s">
        <v>25</v>
      </c>
      <c r="F5" s="7" t="s">
        <v>26</v>
      </c>
      <c r="G5" s="7" t="s">
        <v>27</v>
      </c>
      <c r="H5" s="7" t="s">
        <v>28</v>
      </c>
      <c r="I5" s="7" t="s">
        <v>29</v>
      </c>
      <c r="J5" s="8" t="s">
        <v>30</v>
      </c>
      <c r="K5" s="7" t="s">
        <v>31</v>
      </c>
      <c r="L5" s="7" t="s">
        <v>32</v>
      </c>
      <c r="M5" s="7" t="s">
        <v>33</v>
      </c>
      <c r="N5" s="7" t="s">
        <v>34</v>
      </c>
      <c r="O5" s="7" t="s">
        <v>35</v>
      </c>
      <c r="P5" s="8" t="s">
        <v>36</v>
      </c>
      <c r="Q5" s="8" t="s">
        <v>37</v>
      </c>
      <c r="R5" s="8" t="s">
        <v>38</v>
      </c>
    </row>
    <row r="6" spans="2:18">
      <c r="B6" s="9" t="s">
        <v>39</v>
      </c>
      <c r="C6" s="10">
        <v>85764.16</v>
      </c>
      <c r="D6" s="11">
        <v>0.3832</v>
      </c>
      <c r="E6" s="11">
        <v>449</v>
      </c>
      <c r="F6" s="11">
        <v>219</v>
      </c>
      <c r="G6" s="11">
        <v>341.09</v>
      </c>
      <c r="H6" s="11">
        <v>322.92</v>
      </c>
      <c r="I6" s="11">
        <v>336.44</v>
      </c>
      <c r="J6" s="12">
        <v>293.95</v>
      </c>
      <c r="K6" s="10">
        <v>524855</v>
      </c>
      <c r="L6" s="10">
        <v>257402.5</v>
      </c>
      <c r="M6" s="10">
        <v>400940.75</v>
      </c>
      <c r="N6" s="10">
        <v>379713.78</v>
      </c>
      <c r="O6" s="10">
        <v>394478.03</v>
      </c>
      <c r="P6" s="13">
        <v>347084.09</v>
      </c>
      <c r="Q6" s="12">
        <v>4.05</v>
      </c>
      <c r="R6" s="13">
        <v>291.76</v>
      </c>
    </row>
    <row r="7" spans="2:18">
      <c r="B7" s="9" t="s">
        <v>40</v>
      </c>
      <c r="C7" s="10">
        <v>82007.2</v>
      </c>
      <c r="D7" s="11">
        <v>0.4363</v>
      </c>
      <c r="E7" s="11">
        <v>182</v>
      </c>
      <c r="F7" s="11">
        <v>496</v>
      </c>
      <c r="G7" s="11">
        <v>308</v>
      </c>
      <c r="H7" s="11">
        <v>329.97</v>
      </c>
      <c r="I7" s="11">
        <v>325.5</v>
      </c>
      <c r="J7" s="12">
        <v>334.68</v>
      </c>
      <c r="K7" s="10">
        <v>213975</v>
      </c>
      <c r="L7" s="10">
        <v>589730</v>
      </c>
      <c r="M7" s="10">
        <v>367230.98</v>
      </c>
      <c r="N7" s="10">
        <v>393927.24</v>
      </c>
      <c r="O7" s="10">
        <v>386453.8</v>
      </c>
      <c r="P7" s="13">
        <v>395172.44</v>
      </c>
      <c r="Q7" s="12">
        <v>4.82</v>
      </c>
      <c r="R7" s="13">
        <v>245.03</v>
      </c>
    </row>
    <row r="8" spans="2:18">
      <c r="B8" s="9" t="s">
        <v>41</v>
      </c>
      <c r="C8" s="10">
        <v>47451.14</v>
      </c>
      <c r="D8" s="11">
        <v>0.113</v>
      </c>
      <c r="E8" s="11">
        <v>135</v>
      </c>
      <c r="F8" s="11">
        <v>17</v>
      </c>
      <c r="G8" s="11">
        <v>94.72</v>
      </c>
      <c r="H8" s="11">
        <v>84.86</v>
      </c>
      <c r="I8" s="11">
        <v>84.51000000000001</v>
      </c>
      <c r="J8" s="12">
        <v>86.65000000000001</v>
      </c>
      <c r="K8" s="10">
        <v>160877.5</v>
      </c>
      <c r="L8" s="10">
        <v>19535</v>
      </c>
      <c r="M8" s="10">
        <v>113143.55</v>
      </c>
      <c r="N8" s="10">
        <v>101715.37</v>
      </c>
      <c r="O8" s="10">
        <v>100577.52</v>
      </c>
      <c r="P8" s="13">
        <v>102308.5</v>
      </c>
      <c r="Q8" s="12">
        <v>2.16</v>
      </c>
      <c r="R8" s="13">
        <v>547.62</v>
      </c>
    </row>
    <row r="9" spans="2:18">
      <c r="B9" s="9" t="s">
        <v>42</v>
      </c>
      <c r="C9" s="10">
        <v>42456.05</v>
      </c>
      <c r="D9" s="11">
        <v>0.1988</v>
      </c>
      <c r="E9" s="11">
        <v>317</v>
      </c>
      <c r="F9" s="11">
        <v>40</v>
      </c>
      <c r="G9" s="11">
        <v>163.65</v>
      </c>
      <c r="H9" s="11">
        <v>144.39</v>
      </c>
      <c r="I9" s="11">
        <v>172.07</v>
      </c>
      <c r="J9" s="12">
        <v>152.45</v>
      </c>
      <c r="K9" s="10">
        <v>375012.5</v>
      </c>
      <c r="L9" s="10">
        <v>47092.5</v>
      </c>
      <c r="M9" s="10">
        <v>191887.73</v>
      </c>
      <c r="N9" s="10">
        <v>168844.97</v>
      </c>
      <c r="O9" s="10">
        <v>202675.6</v>
      </c>
      <c r="P9" s="13">
        <v>180001.53</v>
      </c>
      <c r="Q9" s="12">
        <v>4.24</v>
      </c>
      <c r="R9" s="13">
        <v>278.49</v>
      </c>
    </row>
    <row r="10" spans="2:18">
      <c r="B10" s="9" t="s">
        <v>43</v>
      </c>
      <c r="C10" s="10">
        <v>5218.13</v>
      </c>
      <c r="D10" s="11">
        <v>0.2765</v>
      </c>
      <c r="E10" s="11">
        <v>0</v>
      </c>
      <c r="F10" s="11">
        <v>302</v>
      </c>
      <c r="G10" s="11">
        <v>235.67</v>
      </c>
      <c r="H10" s="11">
        <v>256.35</v>
      </c>
      <c r="I10" s="11">
        <v>188.66</v>
      </c>
      <c r="J10" s="12">
        <v>212.04</v>
      </c>
      <c r="K10" s="10">
        <v>0</v>
      </c>
      <c r="L10" s="10">
        <v>356800</v>
      </c>
      <c r="M10" s="10">
        <v>278826.99</v>
      </c>
      <c r="N10" s="10">
        <v>302540.21</v>
      </c>
      <c r="O10" s="10">
        <v>223546.42</v>
      </c>
      <c r="P10" s="13">
        <v>250368.15</v>
      </c>
      <c r="Q10" s="12">
        <v>47.98</v>
      </c>
      <c r="R10" s="13">
        <v>24.61</v>
      </c>
    </row>
    <row r="11" spans="2:18">
      <c r="B11" s="9" t="s">
        <v>44</v>
      </c>
      <c r="C11" s="10">
        <v>0</v>
      </c>
      <c r="D11" s="11">
        <v>0.2314</v>
      </c>
      <c r="E11" s="11">
        <v>246</v>
      </c>
      <c r="F11" s="11">
        <v>127</v>
      </c>
      <c r="G11" s="11">
        <v>161.51</v>
      </c>
      <c r="H11" s="11">
        <v>153.19</v>
      </c>
      <c r="I11" s="11">
        <v>175.33</v>
      </c>
      <c r="J11" s="12">
        <v>177.52</v>
      </c>
      <c r="K11" s="10">
        <v>297105</v>
      </c>
      <c r="L11" s="10">
        <v>148922.5</v>
      </c>
      <c r="M11" s="10">
        <v>190741.53</v>
      </c>
      <c r="N11" s="10">
        <v>180484.84</v>
      </c>
      <c r="O11" s="10">
        <v>208606.12</v>
      </c>
      <c r="P11" s="13">
        <v>209607.34</v>
      </c>
      <c r="Q11" s="12">
        <v>999</v>
      </c>
      <c r="R11" s="13">
        <v>0</v>
      </c>
    </row>
    <row r="12" spans="2:18">
      <c r="B12" s="9" t="s">
        <v>45</v>
      </c>
      <c r="C12" s="10">
        <v>0</v>
      </c>
      <c r="D12" s="11">
        <v>0.1665</v>
      </c>
      <c r="E12" s="11">
        <v>56</v>
      </c>
      <c r="F12" s="11">
        <v>184</v>
      </c>
      <c r="G12" s="11">
        <v>80.34999999999999</v>
      </c>
      <c r="H12" s="11">
        <v>93.31999999999999</v>
      </c>
      <c r="I12" s="11">
        <v>102.5</v>
      </c>
      <c r="J12" s="12">
        <v>127.73</v>
      </c>
      <c r="K12" s="10">
        <v>63532.5</v>
      </c>
      <c r="L12" s="10">
        <v>215875</v>
      </c>
      <c r="M12" s="10">
        <v>92585.98</v>
      </c>
      <c r="N12" s="10">
        <v>108131.08</v>
      </c>
      <c r="O12" s="10">
        <v>119020</v>
      </c>
      <c r="P12" s="13">
        <v>150815.44</v>
      </c>
      <c r="Q12" s="12">
        <v>999</v>
      </c>
      <c r="R12" s="13">
        <v>0</v>
      </c>
    </row>
    <row r="13" spans="2:18">
      <c r="B13" s="9" t="s">
        <v>46</v>
      </c>
      <c r="C13" s="13">
        <f>SUM(C6:C12)</f>
        <v>0</v>
      </c>
      <c r="D13" s="9" t="s">
        <v>47</v>
      </c>
      <c r="E13" s="12">
        <f>SUM(E6:E12)</f>
        <v>0</v>
      </c>
      <c r="F13" s="12">
        <f>SUM(F6:F12)</f>
        <v>0</v>
      </c>
      <c r="G13" s="12">
        <f>SUM(G6:G12)</f>
        <v>0</v>
      </c>
      <c r="H13" s="12">
        <f>SUM(H6:H12)</f>
        <v>0</v>
      </c>
      <c r="I13" s="12">
        <f>SUM(I6:I12)</f>
        <v>0</v>
      </c>
      <c r="J13" s="12">
        <f>SUM(J6:J12)</f>
        <v>0</v>
      </c>
      <c r="K13" s="13">
        <f>SUM(K6:K12)</f>
        <v>0</v>
      </c>
      <c r="L13" s="13">
        <f>SUM(L6:L12)</f>
        <v>0</v>
      </c>
      <c r="M13" s="13">
        <f>SUM(M6:M12)</f>
        <v>0</v>
      </c>
      <c r="N13" s="13">
        <f>SUM(N6:N12)</f>
        <v>0</v>
      </c>
      <c r="O13" s="13">
        <f>SUM(O6:O12)</f>
        <v>0</v>
      </c>
      <c r="P13" s="13">
        <f>SUM(P6:P12)</f>
        <v>0</v>
      </c>
      <c r="Q13" s="12">
        <f>P13/C13</f>
        <v>0</v>
      </c>
      <c r="R13" s="13">
        <f>C13/J13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2:L10"/>
  <sheetViews>
    <sheetView workbookViewId="0"/>
  </sheetViews>
  <sheetFormatPr defaultRowHeight="15"/>
  <cols>
    <col min="1" max="1" width="4.7109375" customWidth="1"/>
    <col min="2" max="2" width="20.7109375" customWidth="1"/>
    <col min="3" max="5" width="16.7109375" customWidth="1"/>
    <col min="6" max="9" width="15.7109375" customWidth="1"/>
    <col min="10" max="10" width="48.7109375" customWidth="1"/>
  </cols>
  <sheetData>
    <row r="2" spans="2:12">
      <c r="B2" s="1" t="s">
        <v>48</v>
      </c>
    </row>
    <row r="3" spans="2:12">
      <c r="B3" s="2" t="s">
        <v>49</v>
      </c>
    </row>
    <row r="5" spans="2:12">
      <c r="B5" s="7" t="s">
        <v>22</v>
      </c>
      <c r="C5" s="7" t="s">
        <v>50</v>
      </c>
      <c r="D5" s="8" t="s">
        <v>51</v>
      </c>
      <c r="E5" s="7" t="s">
        <v>52</v>
      </c>
      <c r="F5" s="7" t="s">
        <v>53</v>
      </c>
      <c r="G5" s="7" t="s">
        <v>54</v>
      </c>
      <c r="H5" s="8" t="s">
        <v>55</v>
      </c>
      <c r="I5" s="7" t="s">
        <v>56</v>
      </c>
      <c r="J5" s="8" t="s">
        <v>57</v>
      </c>
      <c r="K5" s="8" t="s">
        <v>58</v>
      </c>
      <c r="L5" s="7" t="s">
        <v>59</v>
      </c>
    </row>
    <row r="6" spans="2:12">
      <c r="B6" s="9" t="s">
        <v>43</v>
      </c>
      <c r="C6" s="10">
        <v>5218.13</v>
      </c>
      <c r="D6" s="13">
        <v>7780.88</v>
      </c>
      <c r="E6" s="10">
        <v>2562.75</v>
      </c>
      <c r="F6" s="14">
        <v>0.491</v>
      </c>
      <c r="G6" s="11">
        <v>212.04</v>
      </c>
      <c r="H6" s="12">
        <v>262.94</v>
      </c>
      <c r="I6" s="10">
        <v>250368.15</v>
      </c>
      <c r="J6" s="13">
        <v>310465.5</v>
      </c>
      <c r="K6" s="12">
        <v>39.9</v>
      </c>
      <c r="L6" s="15" t="s">
        <v>60</v>
      </c>
    </row>
    <row r="7" spans="2:12">
      <c r="B7" s="9" t="s">
        <v>40</v>
      </c>
      <c r="C7" s="10">
        <v>82007.2</v>
      </c>
      <c r="D7" s="13">
        <v>100362.99</v>
      </c>
      <c r="E7" s="10">
        <v>18355.79</v>
      </c>
      <c r="F7" s="14">
        <v>0.224</v>
      </c>
      <c r="G7" s="11">
        <v>334.68</v>
      </c>
      <c r="H7" s="12">
        <v>374.3</v>
      </c>
      <c r="I7" s="10">
        <v>395172.44</v>
      </c>
      <c r="J7" s="13">
        <v>441953.44</v>
      </c>
      <c r="K7" s="12">
        <v>4.4</v>
      </c>
      <c r="L7" s="15" t="s">
        <v>61</v>
      </c>
    </row>
    <row r="8" spans="2:12">
      <c r="B8" s="9" t="s">
        <v>41</v>
      </c>
      <c r="C8" s="10">
        <v>47451.14</v>
      </c>
      <c r="D8" s="13">
        <v>28470.68</v>
      </c>
      <c r="E8" s="10">
        <v>-18980.46</v>
      </c>
      <c r="F8" s="14">
        <v>-0.4</v>
      </c>
      <c r="G8" s="11">
        <v>86.65000000000001</v>
      </c>
      <c r="H8" s="12">
        <v>63.38</v>
      </c>
      <c r="I8" s="10">
        <v>102308.5</v>
      </c>
      <c r="J8" s="13">
        <v>74835.72</v>
      </c>
      <c r="K8" s="12">
        <v>2.63</v>
      </c>
      <c r="L8" s="15" t="s">
        <v>62</v>
      </c>
    </row>
    <row r="9" spans="2:12">
      <c r="B9" s="9" t="s">
        <v>39</v>
      </c>
      <c r="C9" s="10">
        <v>85764.16</v>
      </c>
      <c r="D9" s="13">
        <v>82608.5</v>
      </c>
      <c r="E9" s="10">
        <v>-3155.66</v>
      </c>
      <c r="F9" s="14">
        <v>-0.03700000000000001</v>
      </c>
      <c r="G9" s="11">
        <v>293.95</v>
      </c>
      <c r="H9" s="12">
        <v>287.7</v>
      </c>
      <c r="I9" s="10">
        <v>347084.09</v>
      </c>
      <c r="J9" s="13">
        <v>339700.78</v>
      </c>
      <c r="K9" s="12">
        <v>4.11</v>
      </c>
      <c r="L9" s="15" t="s">
        <v>63</v>
      </c>
    </row>
    <row r="10" spans="2:12">
      <c r="B10" s="9" t="s">
        <v>42</v>
      </c>
      <c r="C10" s="10">
        <v>42456.05</v>
      </c>
      <c r="D10" s="13">
        <v>43673.63</v>
      </c>
      <c r="E10" s="10">
        <v>1217.58</v>
      </c>
      <c r="F10" s="14">
        <v>0.029</v>
      </c>
      <c r="G10" s="11">
        <v>152.45</v>
      </c>
      <c r="H10" s="12">
        <v>154.92</v>
      </c>
      <c r="I10" s="10">
        <v>180001.53</v>
      </c>
      <c r="J10" s="13">
        <v>182921.26</v>
      </c>
      <c r="K10" s="12">
        <v>4.19</v>
      </c>
      <c r="L10" s="15" t="s">
        <v>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2:O20"/>
  <sheetViews>
    <sheetView workbookViewId="0"/>
  </sheetViews>
  <sheetFormatPr defaultRowHeight="15"/>
  <cols>
    <col min="1" max="1" width="4.7109375" customWidth="1"/>
    <col min="2" max="3" width="26.7109375" customWidth="1"/>
    <col min="4" max="4" width="18.7109375" customWidth="1"/>
    <col min="5" max="11" width="14.7109375" customWidth="1"/>
    <col min="12" max="13" width="18.7109375" customWidth="1"/>
    <col min="14" max="14" width="42.7109375" customWidth="1"/>
  </cols>
  <sheetData>
    <row r="2" spans="2:15">
      <c r="B2" s="1" t="s">
        <v>65</v>
      </c>
    </row>
    <row r="3" spans="2:15">
      <c r="B3" s="2" t="s">
        <v>66</v>
      </c>
    </row>
    <row r="5" spans="2:15">
      <c r="B5" s="7" t="s">
        <v>67</v>
      </c>
      <c r="C5" s="7" t="s">
        <v>68</v>
      </c>
      <c r="D5" s="7" t="s">
        <v>22</v>
      </c>
      <c r="E5" s="7" t="s">
        <v>69</v>
      </c>
      <c r="F5" s="7" t="s">
        <v>70</v>
      </c>
      <c r="G5" s="7" t="s">
        <v>71</v>
      </c>
      <c r="H5" s="7" t="s">
        <v>72</v>
      </c>
      <c r="I5" s="7" t="s">
        <v>73</v>
      </c>
      <c r="J5" s="7" t="s">
        <v>74</v>
      </c>
      <c r="K5" s="7" t="s">
        <v>75</v>
      </c>
      <c r="L5" s="7" t="s">
        <v>76</v>
      </c>
      <c r="M5" s="7" t="s">
        <v>77</v>
      </c>
      <c r="N5" s="7" t="s">
        <v>78</v>
      </c>
      <c r="O5" s="7" t="s">
        <v>79</v>
      </c>
    </row>
    <row r="6" spans="2:15">
      <c r="B6" s="15" t="s">
        <v>80</v>
      </c>
      <c r="C6" s="9" t="s">
        <v>81</v>
      </c>
      <c r="D6" s="15" t="s">
        <v>40</v>
      </c>
      <c r="E6" s="10">
        <v>46415.91</v>
      </c>
      <c r="F6" s="16">
        <v>291800</v>
      </c>
      <c r="G6" s="16">
        <v>12244</v>
      </c>
      <c r="H6" s="14">
        <v>0.042</v>
      </c>
      <c r="I6" s="10">
        <v>3.79</v>
      </c>
      <c r="J6" s="11">
        <v>98.25</v>
      </c>
      <c r="K6" s="10">
        <v>114586.49</v>
      </c>
      <c r="L6" s="12">
        <v>2.47</v>
      </c>
      <c r="M6" s="10">
        <v>472.43</v>
      </c>
      <c r="N6" s="9" t="s">
        <v>82</v>
      </c>
      <c r="O6" s="15" t="s">
        <v>83</v>
      </c>
    </row>
    <row r="7" spans="2:15">
      <c r="B7" s="15" t="s">
        <v>84</v>
      </c>
      <c r="C7" s="9" t="s">
        <v>85</v>
      </c>
      <c r="D7" s="15" t="s">
        <v>39</v>
      </c>
      <c r="E7" s="10">
        <v>40632.58</v>
      </c>
      <c r="F7" s="16">
        <v>1449706</v>
      </c>
      <c r="G7" s="16">
        <v>27902</v>
      </c>
      <c r="H7" s="14">
        <v>0.0192</v>
      </c>
      <c r="I7" s="10">
        <v>1.46</v>
      </c>
      <c r="J7" s="11">
        <v>107.69</v>
      </c>
      <c r="K7" s="10">
        <v>124153.15</v>
      </c>
      <c r="L7" s="12">
        <v>3.06</v>
      </c>
      <c r="M7" s="10">
        <v>377.31</v>
      </c>
      <c r="N7" s="9" t="s">
        <v>86</v>
      </c>
      <c r="O7" s="15" t="s">
        <v>87</v>
      </c>
    </row>
    <row r="8" spans="2:15">
      <c r="B8" s="15" t="s">
        <v>88</v>
      </c>
      <c r="C8" s="9" t="s">
        <v>89</v>
      </c>
      <c r="D8" s="15" t="s">
        <v>41</v>
      </c>
      <c r="E8" s="10">
        <v>31175.33</v>
      </c>
      <c r="F8" s="16">
        <v>338057</v>
      </c>
      <c r="G8" s="16">
        <v>4099</v>
      </c>
      <c r="H8" s="14">
        <v>0.0121</v>
      </c>
      <c r="I8" s="10">
        <v>7.61</v>
      </c>
      <c r="J8" s="11">
        <v>52.54</v>
      </c>
      <c r="K8" s="10">
        <v>63474.77</v>
      </c>
      <c r="L8" s="12">
        <v>2.04</v>
      </c>
      <c r="M8" s="10">
        <v>593.36</v>
      </c>
      <c r="N8" s="9" t="s">
        <v>82</v>
      </c>
      <c r="O8" s="15" t="s">
        <v>83</v>
      </c>
    </row>
    <row r="9" spans="2:15">
      <c r="B9" s="15" t="s">
        <v>90</v>
      </c>
      <c r="C9" s="9" t="s">
        <v>91</v>
      </c>
      <c r="D9" s="15" t="s">
        <v>39</v>
      </c>
      <c r="E9" s="10">
        <v>26835.1</v>
      </c>
      <c r="F9" s="16">
        <v>957709</v>
      </c>
      <c r="G9" s="16">
        <v>23289</v>
      </c>
      <c r="H9" s="14">
        <v>0.0243</v>
      </c>
      <c r="I9" s="10">
        <v>1.15</v>
      </c>
      <c r="J9" s="11">
        <v>108.49</v>
      </c>
      <c r="K9" s="10">
        <v>131150.22</v>
      </c>
      <c r="L9" s="12">
        <v>4.89</v>
      </c>
      <c r="M9" s="10">
        <v>247.35</v>
      </c>
      <c r="N9" s="9" t="s">
        <v>86</v>
      </c>
      <c r="O9" s="15" t="s">
        <v>87</v>
      </c>
    </row>
    <row r="10" spans="2:15">
      <c r="B10" s="15" t="s">
        <v>92</v>
      </c>
      <c r="C10" s="9" t="s">
        <v>93</v>
      </c>
      <c r="D10" s="15" t="s">
        <v>42</v>
      </c>
      <c r="E10" s="10">
        <v>24942.78</v>
      </c>
      <c r="F10" s="16">
        <v>1249723</v>
      </c>
      <c r="G10" s="16">
        <v>26287</v>
      </c>
      <c r="H10" s="14">
        <v>0.021</v>
      </c>
      <c r="I10" s="10">
        <v>0.95</v>
      </c>
      <c r="J10" s="11">
        <v>86.8</v>
      </c>
      <c r="K10" s="10">
        <v>100948.14</v>
      </c>
      <c r="L10" s="12">
        <v>4.05</v>
      </c>
      <c r="M10" s="10">
        <v>287.36</v>
      </c>
      <c r="N10" s="9" t="s">
        <v>86</v>
      </c>
      <c r="O10" s="15" t="s">
        <v>87</v>
      </c>
    </row>
    <row r="11" spans="2:15">
      <c r="B11" s="15" t="s">
        <v>94</v>
      </c>
      <c r="C11" s="9" t="s">
        <v>95</v>
      </c>
      <c r="D11" s="15" t="s">
        <v>40</v>
      </c>
      <c r="E11" s="10">
        <v>21197.79</v>
      </c>
      <c r="F11" s="16">
        <v>181202</v>
      </c>
      <c r="G11" s="16">
        <v>5103</v>
      </c>
      <c r="H11" s="14">
        <v>0.0282</v>
      </c>
      <c r="I11" s="10">
        <v>4.15</v>
      </c>
      <c r="J11" s="11">
        <v>101.99</v>
      </c>
      <c r="K11" s="10">
        <v>122234.78</v>
      </c>
      <c r="L11" s="12">
        <v>5.77</v>
      </c>
      <c r="M11" s="10">
        <v>207.84</v>
      </c>
      <c r="N11" s="9" t="s">
        <v>86</v>
      </c>
      <c r="O11" s="15" t="s">
        <v>87</v>
      </c>
    </row>
    <row r="12" spans="2:15">
      <c r="B12" s="15" t="s">
        <v>96</v>
      </c>
      <c r="C12" s="9" t="s">
        <v>97</v>
      </c>
      <c r="D12" s="15" t="s">
        <v>39</v>
      </c>
      <c r="E12" s="10">
        <v>18296.48</v>
      </c>
      <c r="F12" s="16">
        <v>225182</v>
      </c>
      <c r="G12" s="16">
        <v>8654</v>
      </c>
      <c r="H12" s="14">
        <v>0.0384</v>
      </c>
      <c r="I12" s="10">
        <v>2.11</v>
      </c>
      <c r="J12" s="11">
        <v>124.91</v>
      </c>
      <c r="K12" s="10">
        <v>145637.38</v>
      </c>
      <c r="L12" s="12">
        <v>7.96</v>
      </c>
      <c r="M12" s="10">
        <v>146.48</v>
      </c>
      <c r="N12" s="9" t="s">
        <v>98</v>
      </c>
      <c r="O12" s="15" t="s">
        <v>99</v>
      </c>
    </row>
    <row r="13" spans="2:15">
      <c r="B13" s="15" t="s">
        <v>100</v>
      </c>
      <c r="C13" s="9" t="s">
        <v>101</v>
      </c>
      <c r="D13" s="15" t="s">
        <v>42</v>
      </c>
      <c r="E13" s="10">
        <v>17513.27</v>
      </c>
      <c r="F13" s="16">
        <v>877249</v>
      </c>
      <c r="G13" s="16">
        <v>15939</v>
      </c>
      <c r="H13" s="14">
        <v>0.0182</v>
      </c>
      <c r="I13" s="10">
        <v>1.1</v>
      </c>
      <c r="J13" s="11">
        <v>76.84999999999999</v>
      </c>
      <c r="K13" s="10">
        <v>90939.59</v>
      </c>
      <c r="L13" s="12">
        <v>5.19</v>
      </c>
      <c r="M13" s="10">
        <v>227.89</v>
      </c>
      <c r="N13" s="9" t="s">
        <v>86</v>
      </c>
      <c r="O13" s="15" t="s">
        <v>87</v>
      </c>
    </row>
    <row r="14" spans="2:15">
      <c r="B14" s="15" t="s">
        <v>102</v>
      </c>
      <c r="C14" s="9" t="s">
        <v>103</v>
      </c>
      <c r="D14" s="15" t="s">
        <v>41</v>
      </c>
      <c r="E14" s="10">
        <v>16275.81</v>
      </c>
      <c r="F14" s="16">
        <v>153240</v>
      </c>
      <c r="G14" s="16">
        <v>2307</v>
      </c>
      <c r="H14" s="14">
        <v>0.0151</v>
      </c>
      <c r="I14" s="10">
        <v>7.05</v>
      </c>
      <c r="J14" s="11">
        <v>42.18</v>
      </c>
      <c r="K14" s="10">
        <v>49668.78</v>
      </c>
      <c r="L14" s="12">
        <v>3.05</v>
      </c>
      <c r="M14" s="10">
        <v>385.87</v>
      </c>
      <c r="N14" s="9" t="s">
        <v>86</v>
      </c>
      <c r="O14" s="15" t="s">
        <v>87</v>
      </c>
    </row>
    <row r="15" spans="2:15">
      <c r="B15" s="15" t="s">
        <v>104</v>
      </c>
      <c r="C15" s="9" t="s">
        <v>105</v>
      </c>
      <c r="D15" s="15" t="s">
        <v>40</v>
      </c>
      <c r="E15" s="10">
        <v>14393.5</v>
      </c>
      <c r="F15" s="16">
        <v>91560</v>
      </c>
      <c r="G15" s="16">
        <v>11471</v>
      </c>
      <c r="H15" s="14">
        <v>0.1253</v>
      </c>
      <c r="I15" s="10">
        <v>1.25</v>
      </c>
      <c r="J15" s="11">
        <v>107.76</v>
      </c>
      <c r="K15" s="10">
        <v>130409.7</v>
      </c>
      <c r="L15" s="12">
        <v>9.06</v>
      </c>
      <c r="M15" s="10">
        <v>133.57</v>
      </c>
      <c r="N15" s="9" t="s">
        <v>98</v>
      </c>
      <c r="O15" s="15" t="s">
        <v>99</v>
      </c>
    </row>
    <row r="16" spans="2:15">
      <c r="B16" s="15" t="s">
        <v>106</v>
      </c>
      <c r="C16" s="9" t="s">
        <v>107</v>
      </c>
      <c r="D16" s="15" t="s">
        <v>43</v>
      </c>
      <c r="E16" s="10">
        <v>2889.8</v>
      </c>
      <c r="F16" s="16">
        <v>259435</v>
      </c>
      <c r="G16" s="16">
        <v>24001</v>
      </c>
      <c r="H16" s="14">
        <v>0.0925</v>
      </c>
      <c r="I16" s="10">
        <v>0.12</v>
      </c>
      <c r="J16" s="11">
        <v>125.99</v>
      </c>
      <c r="K16" s="10">
        <v>147444.52</v>
      </c>
      <c r="L16" s="12">
        <v>51.02</v>
      </c>
      <c r="M16" s="10">
        <v>22.94</v>
      </c>
      <c r="N16" s="9" t="s">
        <v>98</v>
      </c>
      <c r="O16" s="15" t="s">
        <v>99</v>
      </c>
    </row>
    <row r="17" spans="2:15">
      <c r="B17" s="15" t="s">
        <v>108</v>
      </c>
      <c r="C17" s="9" t="s">
        <v>109</v>
      </c>
      <c r="D17" s="15" t="s">
        <v>43</v>
      </c>
      <c r="E17" s="10">
        <v>2328.33</v>
      </c>
      <c r="F17" s="16">
        <v>309030</v>
      </c>
      <c r="G17" s="16">
        <v>23209</v>
      </c>
      <c r="H17" s="14">
        <v>0.0751</v>
      </c>
      <c r="I17" s="10">
        <v>0.1</v>
      </c>
      <c r="J17" s="11">
        <v>109.69</v>
      </c>
      <c r="K17" s="10">
        <v>131382.46</v>
      </c>
      <c r="L17" s="12">
        <v>56.43</v>
      </c>
      <c r="M17" s="10">
        <v>21.23</v>
      </c>
      <c r="N17" s="9" t="s">
        <v>98</v>
      </c>
      <c r="O17" s="15" t="s">
        <v>99</v>
      </c>
    </row>
    <row r="18" spans="2:15">
      <c r="B18" s="15" t="s">
        <v>110</v>
      </c>
      <c r="C18" s="9" t="s">
        <v>111</v>
      </c>
      <c r="D18" s="15" t="s">
        <v>45</v>
      </c>
      <c r="E18" s="10">
        <v>0</v>
      </c>
      <c r="F18" s="16">
        <v>282013</v>
      </c>
      <c r="G18" s="16">
        <v>31582</v>
      </c>
      <c r="H18" s="14">
        <v>0.112</v>
      </c>
      <c r="I18" s="10">
        <v>0</v>
      </c>
      <c r="J18" s="11">
        <v>80.34999999999999</v>
      </c>
      <c r="K18" s="10">
        <v>92585.98</v>
      </c>
      <c r="L18" s="12">
        <v>999</v>
      </c>
      <c r="M18" s="10">
        <v>0</v>
      </c>
      <c r="N18" s="9" t="s">
        <v>112</v>
      </c>
      <c r="O18" s="15" t="s">
        <v>113</v>
      </c>
    </row>
    <row r="19" spans="2:15">
      <c r="B19" s="15" t="s">
        <v>114</v>
      </c>
      <c r="C19" s="9" t="s">
        <v>115</v>
      </c>
      <c r="D19" s="15" t="s">
        <v>44</v>
      </c>
      <c r="E19" s="10">
        <v>0</v>
      </c>
      <c r="F19" s="16">
        <v>278369</v>
      </c>
      <c r="G19" s="16">
        <v>14787</v>
      </c>
      <c r="H19" s="14">
        <v>0.05309999999999999</v>
      </c>
      <c r="I19" s="10">
        <v>0</v>
      </c>
      <c r="J19" s="11">
        <v>73.95999999999999</v>
      </c>
      <c r="K19" s="10">
        <v>85529.41</v>
      </c>
      <c r="L19" s="12">
        <v>999</v>
      </c>
      <c r="M19" s="10">
        <v>0</v>
      </c>
      <c r="N19" s="9" t="s">
        <v>112</v>
      </c>
      <c r="O19" s="15" t="s">
        <v>113</v>
      </c>
    </row>
    <row r="20" spans="2:15">
      <c r="B20" s="15" t="s">
        <v>116</v>
      </c>
      <c r="C20" s="9" t="s">
        <v>117</v>
      </c>
      <c r="D20" s="15" t="s">
        <v>44</v>
      </c>
      <c r="E20" s="10">
        <v>0</v>
      </c>
      <c r="F20" s="16">
        <v>291160</v>
      </c>
      <c r="G20" s="16">
        <v>13391</v>
      </c>
      <c r="H20" s="14">
        <v>0.046</v>
      </c>
      <c r="I20" s="10">
        <v>0</v>
      </c>
      <c r="J20" s="11">
        <v>87.55</v>
      </c>
      <c r="K20" s="10">
        <v>105212.12</v>
      </c>
      <c r="L20" s="12">
        <v>999</v>
      </c>
      <c r="M20" s="10">
        <v>0</v>
      </c>
      <c r="N20" s="9" t="s">
        <v>112</v>
      </c>
      <c r="O20" s="15" t="s">
        <v>113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2:G30"/>
  <sheetViews>
    <sheetView workbookViewId="0"/>
  </sheetViews>
  <sheetFormatPr defaultRowHeight="15"/>
  <cols>
    <col min="1" max="1" width="4.7109375" customWidth="1"/>
    <col min="2" max="2" width="50.7109375" customWidth="1"/>
    <col min="3" max="7" width="18.7109375" customWidth="1"/>
  </cols>
  <sheetData>
    <row r="2" spans="2:7">
      <c r="B2" s="1" t="s">
        <v>118</v>
      </c>
    </row>
    <row r="3" spans="2:7">
      <c r="B3" s="2" t="s">
        <v>119</v>
      </c>
    </row>
    <row r="5" spans="2:7">
      <c r="B5" s="7" t="s">
        <v>120</v>
      </c>
      <c r="C5" s="7" t="s">
        <v>121</v>
      </c>
      <c r="D5" s="7" t="s">
        <v>122</v>
      </c>
      <c r="E5" s="7" t="s">
        <v>123</v>
      </c>
      <c r="F5" s="7" t="s">
        <v>124</v>
      </c>
      <c r="G5" s="7" t="s">
        <v>125</v>
      </c>
    </row>
    <row r="6" spans="2:7">
      <c r="B6" s="15" t="s">
        <v>39</v>
      </c>
      <c r="C6" s="16">
        <v>1</v>
      </c>
      <c r="D6" s="16">
        <v>626</v>
      </c>
      <c r="E6" s="16">
        <v>53</v>
      </c>
      <c r="F6" s="14">
        <v>0.08470000000000001</v>
      </c>
      <c r="G6" s="10">
        <v>63235</v>
      </c>
    </row>
    <row r="7" spans="2:7">
      <c r="B7" s="15" t="s">
        <v>126</v>
      </c>
      <c r="C7" s="16">
        <v>2</v>
      </c>
      <c r="D7" s="16">
        <v>90</v>
      </c>
      <c r="E7" s="16">
        <v>42</v>
      </c>
      <c r="F7" s="14">
        <v>0.4667</v>
      </c>
      <c r="G7" s="10">
        <v>53525</v>
      </c>
    </row>
    <row r="8" spans="2:7">
      <c r="B8" s="15" t="s">
        <v>127</v>
      </c>
      <c r="C8" s="16">
        <v>2</v>
      </c>
      <c r="D8" s="16">
        <v>141</v>
      </c>
      <c r="E8" s="16">
        <v>41</v>
      </c>
      <c r="F8" s="14">
        <v>0.2908</v>
      </c>
      <c r="G8" s="10">
        <v>48100</v>
      </c>
    </row>
    <row r="9" spans="2:7">
      <c r="B9" s="15" t="s">
        <v>42</v>
      </c>
      <c r="C9" s="16">
        <v>1</v>
      </c>
      <c r="D9" s="16">
        <v>439</v>
      </c>
      <c r="E9" s="16">
        <v>40</v>
      </c>
      <c r="F9" s="14">
        <v>0.0911</v>
      </c>
      <c r="G9" s="10">
        <v>47092.5</v>
      </c>
    </row>
    <row r="10" spans="2:7">
      <c r="B10" s="15" t="s">
        <v>128</v>
      </c>
      <c r="C10" s="16">
        <v>2</v>
      </c>
      <c r="D10" s="16">
        <v>62</v>
      </c>
      <c r="E10" s="16">
        <v>34</v>
      </c>
      <c r="F10" s="14">
        <v>0.5484</v>
      </c>
      <c r="G10" s="10">
        <v>40642.5</v>
      </c>
    </row>
    <row r="11" spans="2:7">
      <c r="B11" s="15" t="s">
        <v>44</v>
      </c>
      <c r="C11" s="16">
        <v>1</v>
      </c>
      <c r="D11" s="16">
        <v>402</v>
      </c>
      <c r="E11" s="16">
        <v>28</v>
      </c>
      <c r="F11" s="14">
        <v>0.0697</v>
      </c>
      <c r="G11" s="10">
        <v>34020</v>
      </c>
    </row>
    <row r="12" spans="2:7">
      <c r="B12" s="15" t="s">
        <v>129</v>
      </c>
      <c r="C12" s="16">
        <v>2</v>
      </c>
      <c r="D12" s="16">
        <v>59</v>
      </c>
      <c r="E12" s="16">
        <v>22</v>
      </c>
      <c r="F12" s="14">
        <v>0.3729</v>
      </c>
      <c r="G12" s="10">
        <v>26242.5</v>
      </c>
    </row>
    <row r="13" spans="2:7">
      <c r="B13" s="15" t="s">
        <v>40</v>
      </c>
      <c r="C13" s="16">
        <v>1</v>
      </c>
      <c r="D13" s="16">
        <v>283</v>
      </c>
      <c r="E13" s="16">
        <v>20</v>
      </c>
      <c r="F13" s="14">
        <v>0.0707</v>
      </c>
      <c r="G13" s="10">
        <v>23597.5</v>
      </c>
    </row>
    <row r="14" spans="2:7">
      <c r="B14" s="15" t="s">
        <v>130</v>
      </c>
      <c r="C14" s="16">
        <v>2</v>
      </c>
      <c r="D14" s="16">
        <v>19</v>
      </c>
      <c r="E14" s="16">
        <v>19</v>
      </c>
      <c r="F14" s="14">
        <v>1</v>
      </c>
      <c r="G14" s="10">
        <v>21952.5</v>
      </c>
    </row>
    <row r="15" spans="2:7">
      <c r="B15" s="15" t="s">
        <v>131</v>
      </c>
      <c r="C15" s="16">
        <v>3</v>
      </c>
      <c r="D15" s="16">
        <v>22</v>
      </c>
      <c r="E15" s="16">
        <v>18</v>
      </c>
      <c r="F15" s="14">
        <v>0.8181999999999999</v>
      </c>
      <c r="G15" s="10">
        <v>22020</v>
      </c>
    </row>
    <row r="16" spans="2:7">
      <c r="B16" s="15" t="s">
        <v>132</v>
      </c>
      <c r="C16" s="16">
        <v>3</v>
      </c>
      <c r="D16" s="16">
        <v>22</v>
      </c>
      <c r="E16" s="16">
        <v>17</v>
      </c>
      <c r="F16" s="14">
        <v>0.7726999999999999</v>
      </c>
      <c r="G16" s="10">
        <v>20062.5</v>
      </c>
    </row>
    <row r="17" spans="2:7">
      <c r="B17" s="15" t="s">
        <v>41</v>
      </c>
      <c r="C17" s="16">
        <v>1</v>
      </c>
      <c r="D17" s="16">
        <v>211</v>
      </c>
      <c r="E17" s="16">
        <v>17</v>
      </c>
      <c r="F17" s="14">
        <v>0.0806</v>
      </c>
      <c r="G17" s="10">
        <v>19535</v>
      </c>
    </row>
    <row r="18" spans="2:7">
      <c r="B18" s="15" t="s">
        <v>133</v>
      </c>
      <c r="C18" s="16">
        <v>2</v>
      </c>
      <c r="D18" s="16">
        <v>105</v>
      </c>
      <c r="E18" s="16">
        <v>16</v>
      </c>
      <c r="F18" s="14">
        <v>0.1524</v>
      </c>
      <c r="G18" s="10">
        <v>20400</v>
      </c>
    </row>
    <row r="19" spans="2:7">
      <c r="B19" s="15" t="s">
        <v>134</v>
      </c>
      <c r="C19" s="16">
        <v>2</v>
      </c>
      <c r="D19" s="16">
        <v>37</v>
      </c>
      <c r="E19" s="16">
        <v>15</v>
      </c>
      <c r="F19" s="14">
        <v>0.4054</v>
      </c>
      <c r="G19" s="10">
        <v>15540</v>
      </c>
    </row>
    <row r="20" spans="2:7">
      <c r="B20" s="15" t="s">
        <v>135</v>
      </c>
      <c r="C20" s="16">
        <v>3</v>
      </c>
      <c r="D20" s="16">
        <v>26</v>
      </c>
      <c r="E20" s="16">
        <v>15</v>
      </c>
      <c r="F20" s="14">
        <v>0.5769</v>
      </c>
      <c r="G20" s="10">
        <v>15237.5</v>
      </c>
    </row>
    <row r="21" spans="2:7">
      <c r="B21" s="15" t="s">
        <v>136</v>
      </c>
      <c r="C21" s="16">
        <v>3</v>
      </c>
      <c r="D21" s="16">
        <v>19</v>
      </c>
      <c r="E21" s="16">
        <v>14</v>
      </c>
      <c r="F21" s="14">
        <v>0.7368000000000001</v>
      </c>
      <c r="G21" s="10">
        <v>18877.5</v>
      </c>
    </row>
    <row r="22" spans="2:7">
      <c r="B22" s="15" t="s">
        <v>137</v>
      </c>
      <c r="C22" s="16">
        <v>2</v>
      </c>
      <c r="D22" s="16">
        <v>13</v>
      </c>
      <c r="E22" s="16">
        <v>13</v>
      </c>
      <c r="F22" s="14">
        <v>1</v>
      </c>
      <c r="G22" s="10">
        <v>14530</v>
      </c>
    </row>
    <row r="23" spans="2:7">
      <c r="B23" s="15" t="s">
        <v>138</v>
      </c>
      <c r="C23" s="16">
        <v>2</v>
      </c>
      <c r="D23" s="16">
        <v>86</v>
      </c>
      <c r="E23" s="16">
        <v>11</v>
      </c>
      <c r="F23" s="14">
        <v>0.1279</v>
      </c>
      <c r="G23" s="10">
        <v>14595</v>
      </c>
    </row>
    <row r="24" spans="2:7">
      <c r="B24" s="15" t="s">
        <v>139</v>
      </c>
      <c r="C24" s="16">
        <v>3</v>
      </c>
      <c r="D24" s="16">
        <v>18</v>
      </c>
      <c r="E24" s="16">
        <v>11</v>
      </c>
      <c r="F24" s="14">
        <v>0.6111</v>
      </c>
      <c r="G24" s="10">
        <v>13025</v>
      </c>
    </row>
    <row r="25" spans="2:7">
      <c r="B25" s="15" t="s">
        <v>140</v>
      </c>
      <c r="C25" s="16">
        <v>2</v>
      </c>
      <c r="D25" s="16">
        <v>72</v>
      </c>
      <c r="E25" s="16">
        <v>11</v>
      </c>
      <c r="F25" s="14">
        <v>0.1528</v>
      </c>
      <c r="G25" s="10">
        <v>11830</v>
      </c>
    </row>
    <row r="26" spans="2:7">
      <c r="B26" s="15" t="s">
        <v>141</v>
      </c>
      <c r="C26" s="16">
        <v>2</v>
      </c>
      <c r="D26" s="16">
        <v>24</v>
      </c>
      <c r="E26" s="16">
        <v>10</v>
      </c>
      <c r="F26" s="14">
        <v>0.4167</v>
      </c>
      <c r="G26" s="10">
        <v>10707.5</v>
      </c>
    </row>
    <row r="27" spans="2:7">
      <c r="B27" s="15" t="s">
        <v>142</v>
      </c>
      <c r="C27" s="16">
        <v>3</v>
      </c>
      <c r="D27" s="16">
        <v>22</v>
      </c>
      <c r="E27" s="16">
        <v>10</v>
      </c>
      <c r="F27" s="14">
        <v>0.4545</v>
      </c>
      <c r="G27" s="10">
        <v>12477.5</v>
      </c>
    </row>
    <row r="28" spans="2:7">
      <c r="B28" s="15" t="s">
        <v>143</v>
      </c>
      <c r="C28" s="16">
        <v>2</v>
      </c>
      <c r="D28" s="16">
        <v>58</v>
      </c>
      <c r="E28" s="16">
        <v>9</v>
      </c>
      <c r="F28" s="14">
        <v>0.1552</v>
      </c>
      <c r="G28" s="10">
        <v>10355</v>
      </c>
    </row>
    <row r="29" spans="2:7">
      <c r="B29" s="15" t="s">
        <v>144</v>
      </c>
      <c r="C29" s="16">
        <v>3</v>
      </c>
      <c r="D29" s="16">
        <v>16</v>
      </c>
      <c r="E29" s="16">
        <v>9</v>
      </c>
      <c r="F29" s="14">
        <v>0.5625</v>
      </c>
      <c r="G29" s="10">
        <v>11635</v>
      </c>
    </row>
    <row r="30" spans="2:7">
      <c r="B30" s="15" t="s">
        <v>145</v>
      </c>
      <c r="C30" s="16">
        <v>2</v>
      </c>
      <c r="D30" s="16">
        <v>31</v>
      </c>
      <c r="E30" s="16">
        <v>9</v>
      </c>
      <c r="F30" s="14">
        <v>0.2903</v>
      </c>
      <c r="G30" s="10">
        <v>8915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Overview</vt:lpstr>
      <vt:lpstr>Attribution Models</vt:lpstr>
      <vt:lpstr>Budget Optimization</vt:lpstr>
      <vt:lpstr>Campaign Deep-Dive</vt:lpstr>
      <vt:lpstr>Customer Journey Paths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2026-10-12T13:58:31Z</dcterms:created>
  <dcterms:modified xsi:type="dcterms:W3CDTF">2026-10-12T13:58:31Z</dcterms:modified>
</cp:coreProperties>
</file>